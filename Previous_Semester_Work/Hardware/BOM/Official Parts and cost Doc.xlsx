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bu/Library/CloudStorage/GoogleDrive-nnaftel@wisc.edu/Shared drives/Big Ol Boat/BOM/"/>
    </mc:Choice>
  </mc:AlternateContent>
  <xr:revisionPtr revIDLastSave="0" documentId="8_{426AB186-D84F-F249-8646-3A216FEAFB08}" xr6:coauthVersionLast="47" xr6:coauthVersionMax="47" xr10:uidLastSave="{00000000-0000-0000-0000-000000000000}"/>
  <bookViews>
    <workbookView xWindow="160" yWindow="920" windowWidth="29920" windowHeight="16920" xr2:uid="{F84FA9BB-A707-DA4D-BCE3-20AFE0FDD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24" i="1"/>
  <c r="G2" i="1" s="1"/>
  <c r="E26" i="1"/>
  <c r="E27" i="1"/>
</calcChain>
</file>

<file path=xl/sharedStrings.xml><?xml version="1.0" encoding="utf-8"?>
<sst xmlns="http://schemas.openxmlformats.org/spreadsheetml/2006/main" count="92" uniqueCount="72">
  <si>
    <t>Remington Magnet</t>
  </si>
  <si>
    <t>Item</t>
  </si>
  <si>
    <t>Where</t>
  </si>
  <si>
    <t>Webstie</t>
  </si>
  <si>
    <t>Amount</t>
  </si>
  <si>
    <t>Cost</t>
  </si>
  <si>
    <t>5/16" X 8", 0.3 width Zipties</t>
  </si>
  <si>
    <t>Makerspace</t>
  </si>
  <si>
    <t>Larger Coil</t>
  </si>
  <si>
    <t>SpeedyBee flight controller and ESC stack F405 V4</t>
  </si>
  <si>
    <t>TELEMETRY RADIO DRONE 915MHZ US</t>
  </si>
  <si>
    <t>DigiKey</t>
  </si>
  <si>
    <t xml:space="preserve">Autonous Navigation </t>
  </si>
  <si>
    <t>Manards</t>
  </si>
  <si>
    <t>2" female to female 90° elbow joint</t>
  </si>
  <si>
    <t>Amazon</t>
  </si>
  <si>
    <t>getFPV</t>
  </si>
  <si>
    <t>https://www.getfpv.com/speedybee-f405-v4-stack-f4-v4-fc-55a-blheli-s-esc-30x30.html?gc_id=21805212384&amp;g_special_campaign=true&amp;gad_source=1&amp;gbraid=0AAAAAD8cN5LRGdn7ZmxKHpyv2Z-YiG553&amp;gclid=Cj0KCQjwhr6_BhD4ARIsAH1YdjAG6GCfM49hxB4LgcsH2PanMkcDT6lIlzgBHMjOSMBgv10AjAOsnXkaAmL6EALw_wcB</t>
  </si>
  <si>
    <t>https://www.menards.com/main/plumbing/pipe-fittings/pvc-pipe-fittings/solid-core-schedule-40-pvc-pressure-pipe/pvc076000600ha/p-1444426393962-c-8571.htm</t>
  </si>
  <si>
    <t>Home Depot</t>
  </si>
  <si>
    <t>https://www.homedepot.com/pep/Charlotte-Pipe-2-in-x-2-in-90-Degree-PVC-Socket-x-Socket-Elbow-Fitting-PVC023001600HD/203812131?source=shoppingads&amp;locale=en-US&amp;pla&amp;mtc=SHOPPING-BF-CDP-GGL-D26P-026_001_PIPE_FITTING-NA-NA-NA-PLALIA-NA-NA-NA-NA-NBR-NA-NA-NEW-_PLATEST&amp;cm_mmc=SHOPPING-BF-CDP-GGL-D26P-026_001_PIPE_FITTING-NA-NA-NA-PLALIA-NA-NA-NA-NA-NBR-NA-NA-NEW-_PLATEST-22111492781-173962209835-331272778036&amp;gclsrc=aw.ds&amp;gad_source=1&amp;gbraid=0AAAAADq61UcBNRdp0k6YWc6CZia3icmLR&amp;gclid=Cj0KCQjwhr6_BhD4ARIsAH1YdjANaFyhej2q1reyjXcQFoItjjCO7Pp2Uv2_a48Qceh__gWZp_enfv0aAnJ3EALw_wcB</t>
  </si>
  <si>
    <t>26" of 2" pvc</t>
  </si>
  <si>
    <t>Hull</t>
  </si>
  <si>
    <t>PVC Platform 8"X11"</t>
  </si>
  <si>
    <t>Servo</t>
  </si>
  <si>
    <t>Ebay</t>
  </si>
  <si>
    <t>https://www.ebay.com/itm/396340977423?_skw=pelican+1400&amp;itmmeta=01JR1C03JVA06HXVABEJ2J6S65&amp;hash=item5c47c35f0f:g:-sEAAOSwexFn3I0e&amp;itmprp=enc%3AAQAKAAAA4MHg7L1Zz0LA5DYYmRTS30ldxQRgWIaNrV3XcIuvr2%2FRr1LpUX0bn0MEvfMdn7dcLD%2FKnLeRBTH6U8lmvjsZvernMdF4wDzZLvql2daOmdwIM%2BPSoPFkxshiQYdPi0%2BE5ff2BkbVzrCBxfTjTibsdmxvXYMRZFg5eZ%2Bs8%2FHxfvCOqd68O1hezYereh9cDmgaZH%2BcRFl%2Faxe%2FfUB5ozhxZxXw1BDiNFx5CcEz8PjAl4WBtZrIXSy06bPZmuJYBW0q%2FzF9Tb5b1bmfBqzjcTi4XXQz2bd1mbKkOAISm8NnFsil%7Ctkp%3ABFBMwrmArMBl</t>
  </si>
  <si>
    <t>Electronics Box</t>
  </si>
  <si>
    <t>https://www.amazon.com/LiFePO4-Battery-Miady-Rechargeable-Maintenance-Free/dp/B089VXSBC6?th=1</t>
  </si>
  <si>
    <t>https://www.amazon.com/Torque-Waterproof-Steering-Digital-Control/dp/B0CG678Y3D/ref=asc_df_B0CG678Y3D?mcid=75049a5f7c6a3b5b87428ce8fc5f84e8&amp;hvocijid=750709027217634128-B0CG678Y3D-&amp;hvexpln=73&amp;tag=hyprod-20&amp;linkCode=df0&amp;hvadid=730312820598&amp;hvpos=&amp;hvnetw=g&amp;hvrand=750709027217634128&amp;hvpone=&amp;hvptwo=&amp;hvqmt=&amp;hvdev=c&amp;hvdvcmdl=&amp;hvlocint=&amp;hvlocphy=9018944&amp;hvtargid=pla-2281435178378&amp;psc=1</t>
  </si>
  <si>
    <t>https://www.amazon.com/uxcell-NTA1828-Bearings-Washers-Needles/dp/B0D7BNMCGY/ref=sr_1_2_sspa?crid=22YWHW6HOH4ZG&amp;dib=eyJ2IjoiMSJ9.JZmmZj6GILdxtfCYnEQtw3WfNCnpy7c0E5-G7-1DSnkXsnCWOsWtm5sDN5kE23DiPLglPWpmLVsmCVt5XL5WuSa-bireR4_zHBPafP9EfPB2zeXVZgXeGToiUFJcuVQqlTi0afZQTNTfkmvD_74xEVoZiiGXrKtbwjONExNYMfGaj3-tlzl8L75Ht7t3dV4W-lbtcoz3q_hATI--1q9p5CTwUyF4C_nNA_dB99wCdJA.OMS9IGCC5oAYuICFcbgsPMclJUIVLT2AhgeA2EF2LPI&amp;dib_tag=se&amp;keywords=1-1%2F8%2Binch%2Bthrust%2Broller%2Bbearings&amp;qid=1741462476&amp;sprefix=1-1%2F8%2Binch%2Bthrust%2Broller%2Bbearing%2Caps%2C133&amp;sr=8-2-spons&amp;sp_csd=d2lkZ2V0TmFtZT1zcF9hdGY&amp;th=1</t>
  </si>
  <si>
    <t>Motor Steering Mechanism</t>
  </si>
  <si>
    <t>Pelican Electronics waterproof box 1400 (used)</t>
  </si>
  <si>
    <t>Total Cost</t>
  </si>
  <si>
    <t>Sub-Assembly</t>
  </si>
  <si>
    <t>https://www.amazon.com/HiLetgo-TPA3116-Amplifier-TPA3116DA-Channel/dp/B082F7P184/142-4393132-9958638?pd_rd_w=rB4rO&amp;content-id=amzn1.sym.751acc83-5c05-42d0-a15e-303622651e1e&amp;pf_rd_p=751acc83-5c05-42d0-a15e-303622651e1e&amp;pf_rd_r=YHWJA1GT4WHG5JXRXA5F&amp;pd_rd_wg=xXkwp&amp;pd_rd_r=6b8b1d51-b40d-4050-9bdb-c1e39816f306&amp;pd_rd_i=B082F7P184&amp;psc=1</t>
  </si>
  <si>
    <t>Battery 12V, 20AH</t>
  </si>
  <si>
    <t>Battery System</t>
  </si>
  <si>
    <t>Fuses</t>
  </si>
  <si>
    <t>Stakon Fork Connectors</t>
  </si>
  <si>
    <t>Makerspsace</t>
  </si>
  <si>
    <t>1.5In x 16Ft Cinch Straps velcro</t>
  </si>
  <si>
    <t>https://www.amazon.com/WSZJINB-Buckles-Reusable-Organizer-Storage/dp/B0D7YP7HRD/ref=sr_1_20?dib=eyJ2IjoiMSJ9.xXcWgGVHrk3Xet9pOEG6EA6TfvElrW_Cqi-mb3JHMVjGjHj071QN20LucGBJIEps.cDySjzZKFXg6JQG4flmFalufEMT79F8mR1z2H4AsZAE&amp;dib_tag=se&amp;hvadid=694427542735&amp;hvdev=c&amp;hvexpln=67&amp;hvlocphy=9018944&amp;hvnetw=g&amp;hvocijid=13846531778692232972--&amp;hvqmt=e&amp;hvrand=13846531778692232972&amp;hvtargid=kwd-112128324&amp;hydadcr=24662_13626696&amp;keywords=velcro%2Bstraps&amp;qid=1744070056&amp;sr=8-20&amp;xpid=Az7HMAluYF9WJ&amp;th=1</t>
  </si>
  <si>
    <t>1kg PLA Roll</t>
  </si>
  <si>
    <t>https://www.amazon.com/SUNLU-PLA-Filament-1-75mm-Printer/dp/B0DMSYG4B7/ref=asc_df_B0DMSYG4B7?mcid=e24f3ccd2ccc3e5eb68e35af889451f7&amp;hvocijid=3015589031978211572-B0DMSYG4B7-&amp;hvexpln=73&amp;tag=hyprod-20&amp;linkCode=df0&amp;hvadid=721245378154&amp;hvpos=&amp;hvnetw=g&amp;hvrand=3015589031978211572&amp;hvpone=&amp;hvptwo=&amp;hvqmt=&amp;hvdev=c&amp;hvdvcmdl=&amp;hvlocint=&amp;hvlocphy=9018948&amp;hvtargid=pla-2281435179578&amp;th=1</t>
  </si>
  <si>
    <t>Misc Prototyping</t>
  </si>
  <si>
    <t>https://urldefense.com/v3/__https://www.amazon.com/Terminal-Circuits-200v-450v-Terminals-Connectors/dp/B09VSYWFFM/ref=asc_df_B09VSYWFFM?mcid=8a98bfa28e853e8ebda46f6114cc02c1&amp;hvocijid=16045139739374654746-B09VSYWFFM-&amp;hvexpln=73&amp;tag=hyprod-20&amp;linkCode=df0&amp;hvadid=721245378154&amp;hvpos=&amp;hvnetw=g&amp;hvrand=16045139739374654746&amp;hvpone=&amp;hvptwo=&amp;hvqmt=&amp;hvdev=c&amp;hvdvcmdl=&amp;hvlocint=&amp;hvlocphy=9018944&amp;hvtargid=pla-2281435179538&amp;th=1__;!!Mak6IKo!LL0SAxHoiveyOU6WCKyw6pXHgOvX-QFO6TB3n8v9Qk8TBmRYGbASqR9cWAo_K2Cks_fgx8HBRigBvjN5kTsEW-RVnpQn$</t>
  </si>
  <si>
    <t>18 gauge wire (100' Spool)</t>
  </si>
  <si>
    <t>Waterproof Acrylic Laytex Caulk</t>
  </si>
  <si>
    <t>https://www.amazon.com/DAP-18152-10-1oz-Acrylic-Silicone/dp/B00002ND6L/ref=sr_1_12?crid=30BNOKE6VZDY2&amp;dib=eyJ2IjoiMSJ9.C9DcDcgb3n23fUxUyN72yZqZFv7mF8SuewpRIrjkhIGENOjHmr4RtxDv9fcXmHmJXGJAv0ejNJRbsOZBpCX24VN_tSQYDK9PPEv7zor5QD-VSgsjKGc_AHrhblGSNGRQfhkYKtBLoxT6LTvqyrGQ3C52YmyAbbqO2BfEyhXD7p5jbUvtzU7_MhhAlve2IKYeoGTVnbfKvboJrap2P5DNO0GibHMcQwjjTjK_ei97WX0.YtMODNJx3ZsU-DYfxIL2RyrBVTuMVbADUIKPMGn-jtA&amp;dib_tag=se&amp;keywords=silicon%2Bcaulk&amp;qid=1744217085&amp;sprefix=silicon%2Bcaulk%2Caps%2C166&amp;sr=8-12&amp;th=1</t>
  </si>
  <si>
    <t>Audio Amp (Pack of 2)</t>
  </si>
  <si>
    <t>9"X10" acrylic sheet</t>
  </si>
  <si>
    <t>https://www.remingtonindustries.com/hook-up-wire/hook-up-wire-18-awg-gpt-primary-wire-stranded-10-colors-7-spool-sizes-available/</t>
  </si>
  <si>
    <t>1" M4 Brass Standoff</t>
  </si>
  <si>
    <t>M4 Screws</t>
  </si>
  <si>
    <t>Stakon Insulated Disconnect 22-18 male-female pair</t>
  </si>
  <si>
    <t>Tplug male and female pair</t>
  </si>
  <si>
    <t>30A Anderson power connectors</t>
  </si>
  <si>
    <t>Steel Slotted angle</t>
  </si>
  <si>
    <t xml:space="preserve"> 6" X 10' PVC</t>
  </si>
  <si>
    <t>https://www.amazon.com/4-Pack-SINOAXISSPACE-Collar-Collars-Thickness/dp/B0DJPN9ZGC/ref=sr_1_2_sspa?crid=3L6D0JT74HNXN&amp;dib=eyJ2IjoiMSJ9.uZaWv-obJu7WQdeTXPDRbcuDa698mvAx6UPwcKfZ-Vw4K_mcGMz-Dv9Sy541bRLF8_Glqt1gr_4k2s_uzVsam_mRA0LYoueHujSNz3fRAScAfYpI52FDrFOfN8ehKGyiVTUd4im4I38xRATci9p8uXc8dcmR_DUnSHstOoyXF4ZRJAfVmj3_H0QyvVVynkv1qhjU5wAvIhDwdwayPkR35_m3_vIEyDnCL2Ms_MAVZ3c.HIrCP65jOsljJcI-csLSLZQVILqcAJn3bt-6_4jPTSo&amp;dib_tag=se&amp;keywords=1%2Binch%2Bbore%2Btwo%2Bpiece%2Bshaft%2Bcollar&amp;qid=1741463487&amp;sprefix=1%2Binch%2Bbore%2Btwo%2Bpiece%2Bshaft%2Bcollar%2Caps%2C164&amp;sr=8-2-spons&amp;sp_csd=d2lkZ2V0TmFtZT1zcF9hdGY&amp;th=1</t>
  </si>
  <si>
    <t>Thrust Bearing (4 pack)</t>
  </si>
  <si>
    <t>Shaft Collar (4 pack)</t>
  </si>
  <si>
    <t>Terminal Block (2 pack)</t>
  </si>
  <si>
    <t>https://www.digikey.com/en/products/detail/nxp-usa-inc/HGD-TELEM915/10669047</t>
  </si>
  <si>
    <t>Makerspace (scrap free)</t>
  </si>
  <si>
    <t>Underwater Motor</t>
  </si>
  <si>
    <t>https://www.amazon.com/DNYSYSJ-Brushless-Underwater-Thruster-Propeller/dp/B0B3J4CM9H/ref=sr_1_23?crid=20UNWTIVIJT97&amp;dib=eyJ2IjoiMSJ9.kAb-fJL3uE3XXlvdWxUnAsgrUviY8As7U9aBU2T8D--AaLa1PcRNwEnBR_YRfRxuQv9l5PAOa-UKZgD9MtafGAKCJLtqrTECWQU3eT_m593_7uvletfjDf2J1cEpz3S3MoSEjmfRwA9fsw8oDOuieEg02Yb59lt5EMHZgP3soljqw6ff8rChPDeSLr2VoCglIZ38623464MddnzOAhQ8ZbeqW4Qc0bavZR1sYAWa_02NHlWE4C3cVeTZhKCGAUkpKI3hzGPbNoDo0802xzX_7qlXYV8UbztjcHT_VPQOYG0.Og4iz29HnVvRut7NZMWuvBlve32xGA9WFZcoycmWGDk&amp;dib_tag=se&amp;keywords=underwater%2Bmotor&amp;qid=1746744074&amp;sprefix=underwater%2Bmotor%2Caps%2C144&amp;sr=8-23&amp;th=1</t>
  </si>
  <si>
    <t>BZGNSS BZ-251</t>
  </si>
  <si>
    <t>https://www.speedybee.com/bzgnss-bz-251-gps-with-5883-compass/</t>
  </si>
  <si>
    <t>Motor</t>
  </si>
  <si>
    <t>1" Aluminum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</si>
</sst>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rial"/>
      <family val="2"/>
    </font>
    <font>
      <sz val="12"/>
      <color rgb="FF0F1111"/>
      <name val="Aptos Narrow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9"/>
      <color rgb="FF222222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4" xfId="0" applyBorder="1"/>
    <xf numFmtId="0" fontId="2" fillId="0" borderId="2" xfId="0" applyFont="1" applyBorder="1"/>
    <xf numFmtId="0" fontId="2" fillId="0" borderId="0" xfId="0" applyFont="1"/>
    <xf numFmtId="0" fontId="3" fillId="0" borderId="5" xfId="0" applyFont="1" applyBorder="1"/>
    <xf numFmtId="0" fontId="5" fillId="0" borderId="5" xfId="0" applyFont="1" applyBorder="1"/>
    <xf numFmtId="0" fontId="4" fillId="0" borderId="3" xfId="0" applyFont="1" applyBorder="1"/>
    <xf numFmtId="0" fontId="2" fillId="0" borderId="6" xfId="0" applyFont="1" applyBorder="1"/>
    <xf numFmtId="0" fontId="7" fillId="0" borderId="1" xfId="0" applyFont="1" applyBorder="1"/>
    <xf numFmtId="0" fontId="7" fillId="0" borderId="5" xfId="0" applyFont="1" applyBorder="1"/>
    <xf numFmtId="0" fontId="7" fillId="0" borderId="3" xfId="0" applyFont="1" applyBorder="1"/>
    <xf numFmtId="0" fontId="7" fillId="0" borderId="4" xfId="0" applyFont="1" applyBorder="1"/>
    <xf numFmtId="0" fontId="5" fillId="0" borderId="1" xfId="0" applyFont="1" applyBorder="1"/>
    <xf numFmtId="0" fontId="7" fillId="0" borderId="6" xfId="0" applyFont="1" applyBorder="1"/>
    <xf numFmtId="0" fontId="2" fillId="0" borderId="8" xfId="0" applyFont="1" applyBorder="1"/>
    <xf numFmtId="0" fontId="6" fillId="0" borderId="0" xfId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1" xfId="0" applyFont="1" applyFill="1" applyBorder="1"/>
    <xf numFmtId="0" fontId="6" fillId="0" borderId="10" xfId="1" applyBorder="1"/>
    <xf numFmtId="0" fontId="6" fillId="0" borderId="11" xfId="1" applyBorder="1"/>
    <xf numFmtId="0" fontId="8" fillId="0" borderId="11" xfId="1" applyFont="1" applyBorder="1"/>
    <xf numFmtId="0" fontId="8" fillId="0" borderId="10" xfId="1" applyFont="1" applyBorder="1"/>
    <xf numFmtId="0" fontId="8" fillId="0" borderId="12" xfId="1" applyFont="1" applyBorder="1"/>
    <xf numFmtId="0" fontId="0" fillId="0" borderId="12" xfId="0" applyBorder="1"/>
    <xf numFmtId="0" fontId="0" fillId="0" borderId="9" xfId="0" applyBorder="1"/>
    <xf numFmtId="0" fontId="0" fillId="0" borderId="10" xfId="0" applyBorder="1"/>
    <xf numFmtId="0" fontId="0" fillId="2" borderId="0" xfId="0" applyFill="1"/>
    <xf numFmtId="8" fontId="9" fillId="0" borderId="0" xfId="0" applyNumberFormat="1" applyFont="1"/>
    <xf numFmtId="0" fontId="6" fillId="0" borderId="12" xfId="1" applyBorder="1"/>
    <xf numFmtId="0" fontId="0" fillId="0" borderId="7" xfId="0" applyBorder="1"/>
    <xf numFmtId="0" fontId="6" fillId="0" borderId="9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rldefense.com/v3/__https:/www.amazon.com/Terminal-Circuits-200v-450v-Terminals-Connectors/dp/B09VSYWFFM/ref=asc_df_B09VSYWFFM?mcid=8a98bfa28e853e8ebda46f6114cc02c1&amp;hvocijid=16045139739374654746-B09VSYWFFM-&amp;hvexpln=73&amp;tag=hyprod-20&amp;linkCode=df0&amp;hvadid=721245378154&amp;hvpos=&amp;hvnetw=g&amp;hvrand=16045139739374654746&amp;hvpone=&amp;hvptwo=&amp;hvqmt=&amp;hvdev=c&amp;hvdvcmdl=&amp;hvlocint=&amp;hvlocphy=9018944&amp;hvtargid=pla-2281435179538&amp;th=1__;!!Mak6IKo!LL0SAxHoiveyOU6WCKyw6pXHgOvX-QFO6TB3n8v9Qk8TBmRYGbASqR9cWAo_K2Cks_fgx8HBRigBvjN5kTsEW-RVnpQn$" TargetMode="External"/><Relationship Id="rId13" Type="http://schemas.openxmlformats.org/officeDocument/2006/relationships/hyperlink" Target="https://www.digikey.com/en/products/detail/nxp-usa-inc/HGD-TELEM915/10669047" TargetMode="External"/><Relationship Id="rId3" Type="http://schemas.openxmlformats.org/officeDocument/2006/relationships/hyperlink" Target="https://www.menards.com/main/plumbing/pipe-fittings/pvc-pipe-fittings/solid-core-schedule-40-pvc-pressure-pipe/pvc076000600ha/p-1444426393962-c-8571.htm" TargetMode="External"/><Relationship Id="rId7" Type="http://schemas.openxmlformats.org/officeDocument/2006/relationships/hyperlink" Target="https://urldefense.com/v3/__https:/www.amazon.com/WSZJINB-Buckles-Reusable-Organizer-Storage/dp/B0D7YP7HRD/ref=sr_1_20?dib=eyJ2IjoiMSJ9.xXcWgGVHrk3Xet9pOEG6EA6TfvElrW_Cqi-mb3JHMVjGjHj071QN20LucGBJIEps.cDySjzZKFXg6JQG4flmFalufEMT79F8mR1z2H4AsZAE&amp;dib_tag=se&amp;hvadid=694427542735&amp;hvdev=c&amp;hvexpln=67&amp;hvlocphy=9018944&amp;hvnetw=g&amp;hvocijid=13846531778692232972--&amp;hvqmt=e&amp;hvrand=13846531778692232972&amp;hvtargid=kwd-112128324&amp;hydadcr=24662_13626696&amp;keywords=velcro*2Bstraps&amp;qid=1744070056&amp;sr=8-20&amp;xpid=Az7HMAluYF9WJ&amp;th=1__;JQ!!Mak6IKo!LL0SAxHoiveyOU6WCKyw6pXHgOvX-QFO6TB3n8v9Qk8TBmRYGbASqR9cWAo_K2Cks_fgx8HBRigBvjN5kTsEW6QBPgYM$" TargetMode="External"/><Relationship Id="rId12" Type="http://schemas.openxmlformats.org/officeDocument/2006/relationships/hyperlink" Target="https://www.amazon.com/Torque-Waterproof-Steering-Digital-Control/dp/B0CG678Y3D/ref=asc_df_B0CG678Y3D?mcid=75049a5f7c6a3b5b87428ce8fc5f84e8&amp;hvocijid=750709027217634128-B0CG678Y3D-&amp;hvexpln=73&amp;tag=hyprod-20&amp;linkCode=df0&amp;hvadid=730312820598&amp;hvpos=&amp;hvnetw=g&amp;hvrand=750709027217634128&amp;hvpone=&amp;hvptwo=&amp;hvqmt=&amp;hvdev=c&amp;hvdvcmdl=&amp;hvlocint=&amp;hvlocphy=9018944&amp;hvtargid=pla-2281435178378&amp;psc=1" TargetMode="External"/><Relationship Id="rId2" Type="http://schemas.openxmlformats.org/officeDocument/2006/relationships/hyperlink" Target="https://www.speedybee.com/bzgnss-bz-251-gps-with-5883-compass/" TargetMode="External"/><Relationship Id="rId1" Type="http://schemas.openxmlformats.org/officeDocument/2006/relationships/hyperlink" Target="https://www.getfpv.com/speedybee-f405-v4-stack-f4-v4-fc-55a-blheli-s-esc-30x30.html?gc_id=21805212384&amp;g_special_campaign=true&amp;gad_source=1&amp;gbraid=0AAAAAD8cN5LRGdn7ZmxKHpyv2Z-YiG553&amp;gclid=Cj0KCQjwhr6_BhD4ARIsAH1YdjAG6GCfM49hxB4LgcsH2PanMkcDT6lIlzgBHMjOSMBgv10AjAOsnXkaAmL6EALw_wcB" TargetMode="External"/><Relationship Id="rId6" Type="http://schemas.openxmlformats.org/officeDocument/2006/relationships/hyperlink" Target="https://www.amazon.com/HiLetgo-TPA3116-Amplifier-TPA3116DA-Channel/dp/B082F7P184/142-4393132-9958638?pd_rd_w=rB4rO&amp;content-id=amzn1.sym.751acc83-5c05-42d0-a15e-303622651e1e&amp;pf_rd_p=751acc83-5c05-42d0-a15e-303622651e1e&amp;pf_rd_r=YHWJA1GT4WHG5JXRXA5F&amp;pd_rd_wg=xXkwp&amp;pd_rd_r=6b8b1d51-b40d-4050-9bdb-c1e39816f306&amp;pd_rd_i=B082F7P184&amp;psc=1" TargetMode="External"/><Relationship Id="rId11" Type="http://schemas.openxmlformats.org/officeDocument/2006/relationships/hyperlink" Target="https://www.amazon.com/Torque-Waterproof-Steering-Digital-Control/dp/B0CG678Y3D/ref=asc_df_B0CG678Y3D?mcid=75049a5f7c6a3b5b87428ce8fc5f84e8&amp;hvocijid=750709027217634128-B0CG678Y3D-&amp;hvexpln=73&amp;tag=hyprod-20&amp;linkCode=df0&amp;hvadid=730312820598&amp;hvpos=&amp;hvnetw=g&amp;hvrand=750709027217634128&amp;hvpone=&amp;hvptwo=&amp;hvqmt=&amp;hvdev=c&amp;hvdvcmdl=&amp;hvlocint=&amp;hvlocphy=9018944&amp;hvtargid=pla-2281435178378&amp;psc=1" TargetMode="External"/><Relationship Id="rId5" Type="http://schemas.openxmlformats.org/officeDocument/2006/relationships/hyperlink" Target="https://www.amazon.com/LiFePO4-Battery-Miady-Rechargeable-Maintenance-Free/dp/B089VXSBC6?th=1" TargetMode="External"/><Relationship Id="rId10" Type="http://schemas.openxmlformats.org/officeDocument/2006/relationships/hyperlink" Target="https://www.remingtonindustries.com/hook-up-wire/hook-up-wire-18-awg-gpt-primary-wire-stranded-10-colors-7-spool-sizes-available/" TargetMode="External"/><Relationship Id="rId4" Type="http://schemas.openxmlformats.org/officeDocument/2006/relationships/hyperlink" Target="https://www.ebay.com/itm/396340977423?_skw=pelican+1400&amp;itmmeta=01JR1C03JVA06HXVABEJ2J6S65&amp;hash=item5c47c35f0f:g:-sEAAOSwexFn3I0e&amp;itmprp=enc%3AAQAKAAAA4MHg7L1Zz0LA5DYYmRTS30ldxQRgWIaNrV3XcIuvr2%2FRr1LpUX0bn0MEvfMdn7dcLD%2FKnLeRBTH6U8lmvjsZvernMdF4wDzZLvql2daOmdwIM%2BPSoPFkxshiQYdPi0%2BE5ff2BkbVzrCBxfTjTibsdmxvXYMRZFg5eZ%2Bs8%2FHxfvCOqd68O1hezYereh9cDmgaZH%2BcRFl%2Faxe%2FfUB5ozhxZxXw1BDiNFx5CcEz8PjAl4WBtZrIXSy06bPZmuJYBW0q%2FzF9Tb5b1bmfBqzjcTi4XXQz2bd1mbKkOAISm8NnFsil%7Ctkp%3ABFBMwrmArMBl" TargetMode="External"/><Relationship Id="rId9" Type="http://schemas.openxmlformats.org/officeDocument/2006/relationships/hyperlink" Target="https://urldefense.com/v3/__https:/www.amazon.com/DAP-18152-10-1oz-Acrylic-Silicone/dp/B00002ND6L/ref=sr_1_12?crid=30BNOKE6VZDY2&amp;dib=eyJ2IjoiMSJ9.C9DcDcgb3n23fUxUyN72yZqZFv7mF8SuewpRIrjkhIGENOjHmr4RtxDv9fcXmHmJXGJAv0ejNJRbsOZBpCX24VN_tSQYDK9PPEv7zor5QD-VSgsjKGc_AHrhblGSNGRQfhkYKtBLoxT6LTvqyrGQ3C52YmyAbbqO2BfEyhXD7p5jbUvtzU7_MhhAlve2IKYeoGTVnbfKvboJrap2P5DNO0GibHMcQwjjTjK_ei97WX0.YtMODNJx3ZsU-DYfxIL2RyrBVTuMVbADUIKPMGn-jtA&amp;dib_tag=se&amp;keywords=silicon*2Bcaulk&amp;qid=1744217085&amp;sprefix=silicon*2Bcaulk*2Caps*2C166&amp;sr=8-12&amp;th=1__;JSUlJQ!!Mak6IKo!LL0SAxHoiveyOU6WCKyw6pXHgOvX-QFO6TB3n8v9Qk8TBmRYGbASqR9cWAo_K2Cks_fgx8HBRigBvjN5kTsEWyR79S9m$" TargetMode="External"/><Relationship Id="rId14" Type="http://schemas.openxmlformats.org/officeDocument/2006/relationships/hyperlink" Target="https://www.amazon.com/DNYSYSJ-Brushless-Underwater-Thruster-Propeller/dp/B0B3J4CM9H/ref=sr_1_23?crid=20UNWTIVIJT97&amp;dib=eyJ2IjoiMSJ9.kAb-fJL3uE3XXlvdWxUnAsgrUviY8As7U9aBU2T8D--AaLa1PcRNwEnBR_YRfRxuQv9l5PAOa-UKZgD9MtafGAKCJLtqrTECWQU3eT_m593_7uvletfjDf2J1cEpz3S3MoSEjmfRwA9fsw8oDOuieEg02Yb59lt5EMHZgP3soljqw6ff8rChPDeSLr2VoCglIZ38623464MddnzOAhQ8ZbeqW4Qc0bavZR1sYAWa_02NHlWE4C3cVeTZhKCGAUkpKI3hzGPbNoDo0802xzX_7qlXYV8UbztjcHT_VPQOYG0.Og4iz29HnVvRut7NZMWuvBlve32xGA9WFZcoycmWGDk&amp;dib_tag=se&amp;keywords=underwater%2Bmotor&amp;qid=1746744074&amp;sprefix=underwater%2Bmotor%2Caps%2C144&amp;sr=8-23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F4B1-C0EC-8D44-9AD3-4D306C258B70}">
  <dimension ref="A1:O31"/>
  <sheetViews>
    <sheetView tabSelected="1" topLeftCell="A5" zoomScale="125" workbookViewId="0">
      <selection activeCell="I25" sqref="I25"/>
    </sheetView>
  </sheetViews>
  <sheetFormatPr baseColWidth="10" defaultRowHeight="16" x14ac:dyDescent="0.2"/>
  <cols>
    <col min="1" max="1" width="48.83203125" bestFit="1" customWidth="1"/>
    <col min="3" max="3" width="20.83203125" bestFit="1" customWidth="1"/>
    <col min="6" max="6" width="23" bestFit="1" customWidth="1"/>
  </cols>
  <sheetData>
    <row r="1" spans="1:15" ht="17" thickBot="1" x14ac:dyDescent="0.25">
      <c r="A1" s="3" t="s">
        <v>1</v>
      </c>
      <c r="B1" s="3" t="s">
        <v>4</v>
      </c>
      <c r="C1" s="3" t="s">
        <v>2</v>
      </c>
      <c r="D1" s="3" t="s">
        <v>3</v>
      </c>
      <c r="E1" s="3" t="s">
        <v>5</v>
      </c>
      <c r="F1" s="3" t="s">
        <v>34</v>
      </c>
      <c r="G1" s="3" t="s">
        <v>33</v>
      </c>
    </row>
    <row r="2" spans="1:15" x14ac:dyDescent="0.2">
      <c r="A2" s="8" t="s">
        <v>47</v>
      </c>
      <c r="B2" s="16">
        <v>1</v>
      </c>
      <c r="C2" s="16" t="s">
        <v>0</v>
      </c>
      <c r="D2" s="20" t="s">
        <v>52</v>
      </c>
      <c r="E2" s="27">
        <v>92.77</v>
      </c>
      <c r="F2" s="2" t="s">
        <v>8</v>
      </c>
      <c r="G2" s="28">
        <f>SUMPRODUCT(B2:B31,E2:E31)</f>
        <v>467.58</v>
      </c>
    </row>
    <row r="3" spans="1:15" x14ac:dyDescent="0.2">
      <c r="A3" s="4" t="s">
        <v>41</v>
      </c>
      <c r="B3" s="17">
        <v>1</v>
      </c>
      <c r="C3" s="17" t="s">
        <v>15</v>
      </c>
      <c r="D3" s="21" t="s">
        <v>42</v>
      </c>
      <c r="E3" s="17">
        <v>9.99</v>
      </c>
      <c r="F3" s="7"/>
    </row>
    <row r="4" spans="1:15" x14ac:dyDescent="0.2">
      <c r="A4" s="9" t="s">
        <v>50</v>
      </c>
      <c r="B4" s="17">
        <v>1</v>
      </c>
      <c r="C4" s="17" t="s">
        <v>15</v>
      </c>
      <c r="D4" s="22" t="s">
        <v>35</v>
      </c>
      <c r="E4" s="17">
        <v>13.99</v>
      </c>
      <c r="F4" s="7"/>
    </row>
    <row r="5" spans="1:15" ht="17" thickBot="1" x14ac:dyDescent="0.25">
      <c r="A5" s="10" t="s">
        <v>6</v>
      </c>
      <c r="B5" s="18">
        <v>8</v>
      </c>
      <c r="C5" s="18" t="s">
        <v>7</v>
      </c>
      <c r="D5" s="18"/>
      <c r="E5" s="18">
        <v>0.1</v>
      </c>
      <c r="F5" s="11"/>
    </row>
    <row r="6" spans="1:15" x14ac:dyDescent="0.2">
      <c r="A6" s="12" t="s">
        <v>9</v>
      </c>
      <c r="B6" s="16">
        <v>1</v>
      </c>
      <c r="C6" s="16" t="s">
        <v>16</v>
      </c>
      <c r="D6" s="23" t="s">
        <v>17</v>
      </c>
      <c r="E6" s="16">
        <v>65</v>
      </c>
      <c r="F6" s="2" t="s">
        <v>12</v>
      </c>
    </row>
    <row r="7" spans="1:15" x14ac:dyDescent="0.2">
      <c r="A7" s="5" t="s">
        <v>10</v>
      </c>
      <c r="B7" s="17">
        <v>1</v>
      </c>
      <c r="C7" s="17" t="s">
        <v>11</v>
      </c>
      <c r="D7" s="15" t="s">
        <v>64</v>
      </c>
      <c r="E7" s="17">
        <v>43.56</v>
      </c>
      <c r="F7" s="13"/>
      <c r="H7" s="15"/>
      <c r="O7" s="29">
        <v>43.56</v>
      </c>
    </row>
    <row r="8" spans="1:15" ht="17" thickBot="1" x14ac:dyDescent="0.25">
      <c r="A8" s="6" t="s">
        <v>68</v>
      </c>
      <c r="B8" s="18">
        <v>1</v>
      </c>
      <c r="C8" s="18" t="s">
        <v>15</v>
      </c>
      <c r="D8" s="30" t="s">
        <v>69</v>
      </c>
      <c r="E8" s="18">
        <v>21.99</v>
      </c>
      <c r="F8" s="11"/>
    </row>
    <row r="9" spans="1:15" x14ac:dyDescent="0.2">
      <c r="A9" s="8" t="s">
        <v>59</v>
      </c>
      <c r="B9" s="16">
        <v>1</v>
      </c>
      <c r="C9" s="16" t="s">
        <v>13</v>
      </c>
      <c r="D9" s="23" t="s">
        <v>18</v>
      </c>
      <c r="E9" s="16">
        <v>42.95</v>
      </c>
      <c r="F9" s="2" t="s">
        <v>22</v>
      </c>
    </row>
    <row r="10" spans="1:15" x14ac:dyDescent="0.2">
      <c r="A10" s="9" t="s">
        <v>58</v>
      </c>
      <c r="B10" s="17">
        <v>1</v>
      </c>
      <c r="C10" s="17" t="s">
        <v>65</v>
      </c>
      <c r="D10" s="22"/>
      <c r="E10" s="17">
        <v>0</v>
      </c>
      <c r="F10" s="7"/>
    </row>
    <row r="11" spans="1:15" x14ac:dyDescent="0.2">
      <c r="A11" s="9" t="s">
        <v>14</v>
      </c>
      <c r="B11" s="17">
        <v>6</v>
      </c>
      <c r="C11" s="17" t="s">
        <v>19</v>
      </c>
      <c r="D11" s="17" t="s">
        <v>20</v>
      </c>
      <c r="E11" s="17">
        <v>2.39</v>
      </c>
      <c r="F11" s="13"/>
    </row>
    <row r="12" spans="1:15" ht="17" thickBot="1" x14ac:dyDescent="0.25">
      <c r="A12" s="10" t="s">
        <v>21</v>
      </c>
      <c r="B12" s="18">
        <v>3</v>
      </c>
      <c r="C12" s="18" t="s">
        <v>65</v>
      </c>
      <c r="D12" s="18"/>
      <c r="E12" s="18">
        <v>0</v>
      </c>
      <c r="F12" s="11"/>
    </row>
    <row r="13" spans="1:15" x14ac:dyDescent="0.2">
      <c r="A13" s="8" t="s">
        <v>23</v>
      </c>
      <c r="B13" s="16">
        <v>1</v>
      </c>
      <c r="C13" s="16" t="s">
        <v>65</v>
      </c>
      <c r="D13" s="16"/>
      <c r="E13" s="16">
        <v>0</v>
      </c>
      <c r="F13" s="2" t="s">
        <v>31</v>
      </c>
    </row>
    <row r="14" spans="1:15" x14ac:dyDescent="0.2">
      <c r="A14" s="9" t="s">
        <v>71</v>
      </c>
      <c r="B14" s="17">
        <v>1</v>
      </c>
      <c r="C14" s="17" t="s">
        <v>65</v>
      </c>
      <c r="D14" s="17"/>
      <c r="E14" s="17">
        <v>0</v>
      </c>
      <c r="F14" s="13"/>
    </row>
    <row r="15" spans="1:15" x14ac:dyDescent="0.2">
      <c r="A15" s="9" t="s">
        <v>24</v>
      </c>
      <c r="B15" s="17">
        <v>1</v>
      </c>
      <c r="C15" s="17" t="s">
        <v>15</v>
      </c>
      <c r="D15" s="21" t="s">
        <v>29</v>
      </c>
      <c r="E15" s="17">
        <v>14.99</v>
      </c>
      <c r="F15" s="13"/>
    </row>
    <row r="16" spans="1:15" x14ac:dyDescent="0.2">
      <c r="A16" s="9" t="s">
        <v>62</v>
      </c>
      <c r="B16" s="17">
        <v>1</v>
      </c>
      <c r="C16" s="17" t="s">
        <v>15</v>
      </c>
      <c r="D16" s="21" t="s">
        <v>60</v>
      </c>
      <c r="E16" s="17">
        <v>11.99</v>
      </c>
      <c r="F16" s="13"/>
    </row>
    <row r="17" spans="1:6" ht="17" thickBot="1" x14ac:dyDescent="0.25">
      <c r="A17" s="10" t="s">
        <v>61</v>
      </c>
      <c r="B17" s="18">
        <v>1</v>
      </c>
      <c r="C17" s="18" t="s">
        <v>15</v>
      </c>
      <c r="D17" s="18" t="s">
        <v>30</v>
      </c>
      <c r="E17" s="18">
        <v>11.2</v>
      </c>
      <c r="F17" s="11"/>
    </row>
    <row r="18" spans="1:6" x14ac:dyDescent="0.2">
      <c r="A18" s="8" t="s">
        <v>63</v>
      </c>
      <c r="B18" s="16">
        <v>1</v>
      </c>
      <c r="C18" s="16" t="s">
        <v>15</v>
      </c>
      <c r="D18" s="20" t="s">
        <v>46</v>
      </c>
      <c r="E18" s="16">
        <v>8.99</v>
      </c>
      <c r="F18" s="2" t="s">
        <v>37</v>
      </c>
    </row>
    <row r="19" spans="1:6" x14ac:dyDescent="0.2">
      <c r="A19" s="9" t="s">
        <v>57</v>
      </c>
      <c r="B19" s="17">
        <v>6</v>
      </c>
      <c r="C19" s="17" t="s">
        <v>7</v>
      </c>
      <c r="D19" s="21"/>
      <c r="E19" s="19">
        <v>0.25</v>
      </c>
      <c r="F19" s="7"/>
    </row>
    <row r="20" spans="1:6" x14ac:dyDescent="0.2">
      <c r="A20" s="9" t="s">
        <v>38</v>
      </c>
      <c r="B20" s="17">
        <v>4</v>
      </c>
      <c r="C20" s="17" t="s">
        <v>7</v>
      </c>
      <c r="D20" s="17"/>
      <c r="E20" s="17">
        <v>0.5</v>
      </c>
      <c r="F20" s="7"/>
    </row>
    <row r="21" spans="1:6" x14ac:dyDescent="0.2">
      <c r="A21" s="9" t="s">
        <v>39</v>
      </c>
      <c r="B21" s="17">
        <v>8</v>
      </c>
      <c r="C21" s="17" t="s">
        <v>40</v>
      </c>
      <c r="D21" s="17"/>
      <c r="E21" s="17">
        <v>0.5</v>
      </c>
      <c r="F21" s="7"/>
    </row>
    <row r="22" spans="1:6" ht="17" thickBot="1" x14ac:dyDescent="0.25">
      <c r="A22" s="9" t="s">
        <v>36</v>
      </c>
      <c r="B22" s="17">
        <v>1</v>
      </c>
      <c r="C22" s="17" t="s">
        <v>15</v>
      </c>
      <c r="D22" s="22" t="s">
        <v>28</v>
      </c>
      <c r="E22" s="17">
        <v>30</v>
      </c>
      <c r="F22" s="13"/>
    </row>
    <row r="23" spans="1:6" x14ac:dyDescent="0.2">
      <c r="A23" s="8" t="s">
        <v>51</v>
      </c>
      <c r="B23" s="16">
        <v>1</v>
      </c>
      <c r="C23" s="16" t="s">
        <v>65</v>
      </c>
      <c r="D23" s="23"/>
      <c r="E23" s="16">
        <v>0</v>
      </c>
      <c r="F23" s="2" t="s">
        <v>27</v>
      </c>
    </row>
    <row r="24" spans="1:6" x14ac:dyDescent="0.2">
      <c r="A24" s="9" t="s">
        <v>55</v>
      </c>
      <c r="B24" s="17">
        <v>4</v>
      </c>
      <c r="C24" s="17" t="s">
        <v>7</v>
      </c>
      <c r="D24" s="22"/>
      <c r="E24" s="17">
        <f>0.5</f>
        <v>0.5</v>
      </c>
      <c r="F24" s="7"/>
    </row>
    <row r="25" spans="1:6" x14ac:dyDescent="0.2">
      <c r="A25" s="9" t="s">
        <v>56</v>
      </c>
      <c r="B25" s="17">
        <v>1</v>
      </c>
      <c r="C25" s="17" t="s">
        <v>7</v>
      </c>
      <c r="D25" s="22"/>
      <c r="E25" s="17">
        <v>0.2</v>
      </c>
      <c r="F25" s="7"/>
    </row>
    <row r="26" spans="1:6" x14ac:dyDescent="0.2">
      <c r="A26" s="9" t="s">
        <v>54</v>
      </c>
      <c r="B26" s="17">
        <v>4</v>
      </c>
      <c r="C26" s="17" t="s">
        <v>7</v>
      </c>
      <c r="D26" s="22"/>
      <c r="E26" s="17">
        <f>0.25</f>
        <v>0.25</v>
      </c>
      <c r="F26" s="7"/>
    </row>
    <row r="27" spans="1:6" x14ac:dyDescent="0.2">
      <c r="A27" s="9" t="s">
        <v>53</v>
      </c>
      <c r="B27" s="17">
        <v>4</v>
      </c>
      <c r="C27" s="17" t="s">
        <v>7</v>
      </c>
      <c r="D27" s="22"/>
      <c r="E27" s="17">
        <f>0.25</f>
        <v>0.25</v>
      </c>
      <c r="F27" s="7"/>
    </row>
    <row r="28" spans="1:6" ht="17" thickBot="1" x14ac:dyDescent="0.25">
      <c r="A28" s="10" t="s">
        <v>32</v>
      </c>
      <c r="B28" s="18">
        <v>1</v>
      </c>
      <c r="C28" s="18" t="s">
        <v>25</v>
      </c>
      <c r="D28" s="24" t="s">
        <v>26</v>
      </c>
      <c r="E28" s="18">
        <v>25</v>
      </c>
      <c r="F28" s="1"/>
    </row>
    <row r="29" spans="1:6" x14ac:dyDescent="0.2">
      <c r="A29" s="9" t="s">
        <v>48</v>
      </c>
      <c r="B29" s="17">
        <v>1</v>
      </c>
      <c r="C29" s="17" t="s">
        <v>15</v>
      </c>
      <c r="D29" s="21" t="s">
        <v>49</v>
      </c>
      <c r="E29" s="17">
        <v>2.34</v>
      </c>
      <c r="F29" s="7" t="s">
        <v>45</v>
      </c>
    </row>
    <row r="30" spans="1:6" ht="17" thickBot="1" x14ac:dyDescent="0.25">
      <c r="A30" s="10" t="s">
        <v>43</v>
      </c>
      <c r="B30" s="18">
        <v>2</v>
      </c>
      <c r="C30" s="18" t="s">
        <v>15</v>
      </c>
      <c r="D30" s="25" t="s">
        <v>44</v>
      </c>
      <c r="E30" s="25">
        <f>11.99</f>
        <v>11.99</v>
      </c>
      <c r="F30" s="1"/>
    </row>
    <row r="31" spans="1:6" ht="17" thickBot="1" x14ac:dyDescent="0.25">
      <c r="A31" s="31" t="s">
        <v>66</v>
      </c>
      <c r="B31" s="26">
        <v>1</v>
      </c>
      <c r="C31" s="26" t="s">
        <v>15</v>
      </c>
      <c r="D31" s="32" t="s">
        <v>67</v>
      </c>
      <c r="E31" s="26">
        <v>22</v>
      </c>
      <c r="F31" s="14" t="s">
        <v>70</v>
      </c>
    </row>
  </sheetData>
  <phoneticPr fontId="1" type="noConversion"/>
  <hyperlinks>
    <hyperlink ref="D6" r:id="rId1" display="https://www.getfpv.com/speedybee-f405-v4-stack-f4-v4-fc-55a-blheli-s-esc-30x30.html?gc_id=21805212384&amp;g_special_campaign=true&amp;gad_source=1&amp;gbraid=0AAAAAD8cN5LRGdn7ZmxKHpyv2Z-YiG553&amp;gclid=Cj0KCQjwhr6_BhD4ARIsAH1YdjAG6GCfM49hxB4LgcsH2PanMkcDT6lIlzgBHMjOSMBgv10AjAOsnXkaAmL6EALw_wcB" xr:uid="{B3A06D53-3F41-F24E-AE88-955B908EBBB1}"/>
    <hyperlink ref="D8" r:id="rId2" xr:uid="{38D63B39-D1B8-2446-BC66-DB090209999D}"/>
    <hyperlink ref="D9" r:id="rId3" xr:uid="{ABF75D71-88FA-7E43-B0E5-9E12973B2F2A}"/>
    <hyperlink ref="D28" r:id="rId4" display="https://www.ebay.com/itm/396340977423?_skw=pelican+1400&amp;itmmeta=01JR1C03JVA06HXVABEJ2J6S65&amp;hash=item5c47c35f0f:g:-sEAAOSwexFn3I0e&amp;itmprp=enc%3AAQAKAAAA4MHg7L1Zz0LA5DYYmRTS30ldxQRgWIaNrV3XcIuvr2%2FRr1LpUX0bn0MEvfMdn7dcLD%2FKnLeRBTH6U8lmvjsZvernMdF4wDzZLvql2daOmdwIM%2BPSoPFkxshiQYdPi0%2BE5ff2BkbVzrCBxfTjTibsdmxvXYMRZFg5eZ%2Bs8%2FHxfvCOqd68O1hezYereh9cDmgaZH%2BcRFl%2Faxe%2FfUB5ozhxZxXw1BDiNFx5CcEz8PjAl4WBtZrIXSy06bPZmuJYBW0q%2FzF9Tb5b1bmfBqzjcTi4XXQz2bd1mbKkOAISm8NnFsil%7Ctkp%3ABFBMwrmArMBl" xr:uid="{4BCB6708-8D07-614E-A595-01B673862346}"/>
    <hyperlink ref="D22" r:id="rId5" xr:uid="{2FADE91C-283E-4F48-B664-93BC5170F685}"/>
    <hyperlink ref="D4" r:id="rId6" display="https://www.amazon.com/HiLetgo-TPA3116-Amplifier-TPA3116DA-Channel/dp/B082F7P184/142-4393132-9958638?pd_rd_w=rB4rO&amp;content-id=amzn1.sym.751acc83-5c05-42d0-a15e-303622651e1e&amp;pf_rd_p=751acc83-5c05-42d0-a15e-303622651e1e&amp;pf_rd_r=YHWJA1GT4WHG5JXRXA5F&amp;pd_rd_wg=xXkwp&amp;pd_rd_r=6b8b1d51-b40d-4050-9bdb-c1e39816f306&amp;pd_rd_i=B082F7P184&amp;psc=1" xr:uid="{91857CD3-5ABA-5740-A802-9E3D313B2596}"/>
    <hyperlink ref="D3" r:id="rId7" display="https://urldefense.com/v3/__https:/www.amazon.com/WSZJINB-Buckles-Reusable-Organizer-Storage/dp/B0D7YP7HRD/ref=sr_1_20?dib=eyJ2IjoiMSJ9.xXcWgGVHrk3Xet9pOEG6EA6TfvElrW_Cqi-mb3JHMVjGjHj071QN20LucGBJIEps.cDySjzZKFXg6JQG4flmFalufEMT79F8mR1z2H4AsZAE&amp;dib_tag=se&amp;hvadid=694427542735&amp;hvdev=c&amp;hvexpln=67&amp;hvlocphy=9018944&amp;hvnetw=g&amp;hvocijid=13846531778692232972--&amp;hvqmt=e&amp;hvrand=13846531778692232972&amp;hvtargid=kwd-112128324&amp;hydadcr=24662_13626696&amp;keywords=velcro*2Bstraps&amp;qid=1744070056&amp;sr=8-20&amp;xpid=Az7HMAluYF9WJ&amp;th=1__;JQ!!Mak6IKo!LL0SAxHoiveyOU6WCKyw6pXHgOvX-QFO6TB3n8v9Qk8TBmRYGbASqR9cWAo_K2Cks_fgx8HBRigBvjN5kTsEW6QBPgYM$" xr:uid="{38655CB7-2062-ED48-8F11-476FC57A57DB}"/>
    <hyperlink ref="D18" r:id="rId8" display="https://urldefense.com/v3/__https://www.amazon.com/Terminal-Circuits-200v-450v-Terminals-Connectors/dp/B09VSYWFFM/ref=asc_df_B09VSYWFFM?mcid=8a98bfa28e853e8ebda46f6114cc02c1&amp;hvocijid=16045139739374654746-B09VSYWFFM-&amp;hvexpln=73&amp;tag=hyprod-20&amp;linkCode=df0&amp;hvadid=721245378154&amp;hvpos=&amp;hvnetw=g&amp;hvrand=16045139739374654746&amp;hvpone=&amp;hvptwo=&amp;hvqmt=&amp;hvdev=c&amp;hvdvcmdl=&amp;hvlocint=&amp;hvlocphy=9018944&amp;hvtargid=pla-2281435179538&amp;th=1__;!!Mak6IKo!LL0SAxHoiveyOU6WCKyw6pXHgOvX-QFO6TB3n8v9Qk8TBmRYGbASqR9cWAo_K2Cks_fgx8HBRigBvjN5kTsEW-RVnpQn$" xr:uid="{327ECA86-A64A-A849-8F2B-6A16E2493345}"/>
    <hyperlink ref="D29" r:id="rId9" display="https://urldefense.com/v3/__https:/www.amazon.com/DAP-18152-10-1oz-Acrylic-Silicone/dp/B00002ND6L/ref=sr_1_12?crid=30BNOKE6VZDY2&amp;dib=eyJ2IjoiMSJ9.C9DcDcgb3n23fUxUyN72yZqZFv7mF8SuewpRIrjkhIGENOjHmr4RtxDv9fcXmHmJXGJAv0ejNJRbsOZBpCX24VN_tSQYDK9PPEv7zor5QD-VSgsjKGc_AHrhblGSNGRQfhkYKtBLoxT6LTvqyrGQ3C52YmyAbbqO2BfEyhXD7p5jbUvtzU7_MhhAlve2IKYeoGTVnbfKvboJrap2P5DNO0GibHMcQwjjTjK_ei97WX0.YtMODNJx3ZsU-DYfxIL2RyrBVTuMVbADUIKPMGn-jtA&amp;dib_tag=se&amp;keywords=silicon*2Bcaulk&amp;qid=1744217085&amp;sprefix=silicon*2Bcaulk*2Caps*2C166&amp;sr=8-12&amp;th=1__;JSUlJQ!!Mak6IKo!LL0SAxHoiveyOU6WCKyw6pXHgOvX-QFO6TB3n8v9Qk8TBmRYGbASqR9cWAo_K2Cks_fgx8HBRigBvjN5kTsEWyR79S9m$" xr:uid="{88D7CE82-5ACB-3B4A-9A78-F9E957A813D7}"/>
    <hyperlink ref="D2" r:id="rId10" xr:uid="{6DC1927B-8AA6-224B-A47F-C6F7F6690E18}"/>
    <hyperlink ref="D16" r:id="rId11" display="https://www.amazon.com/Torque-Waterproof-Steering-Digital-Control/dp/B0CG678Y3D/ref=asc_df_B0CG678Y3D?mcid=75049a5f7c6a3b5b87428ce8fc5f84e8&amp;hvocijid=750709027217634128-B0CG678Y3D-&amp;hvexpln=73&amp;tag=hyprod-20&amp;linkCode=df0&amp;hvadid=730312820598&amp;hvpos=&amp;hvnetw=g&amp;hvrand=750709027217634128&amp;hvpone=&amp;hvptwo=&amp;hvqmt=&amp;hvdev=c&amp;hvdvcmdl=&amp;hvlocint=&amp;hvlocphy=9018944&amp;hvtargid=pla-2281435178378&amp;psc=1" xr:uid="{B820F0DB-2984-464E-B072-356A5D6F37E3}"/>
    <hyperlink ref="D15" r:id="rId12" display="https://www.amazon.com/Torque-Waterproof-Steering-Digital-Control/dp/B0CG678Y3D/ref=asc_df_B0CG678Y3D?mcid=75049a5f7c6a3b5b87428ce8fc5f84e8&amp;hvocijid=750709027217634128-B0CG678Y3D-&amp;hvexpln=73&amp;tag=hyprod-20&amp;linkCode=df0&amp;hvadid=730312820598&amp;hvpos=&amp;hvnetw=g&amp;hvrand=750709027217634128&amp;hvpone=&amp;hvptwo=&amp;hvqmt=&amp;hvdev=c&amp;hvdvcmdl=&amp;hvlocint=&amp;hvlocphy=9018944&amp;hvtargid=pla-2281435178378&amp;psc=1" xr:uid="{C342EA94-01C2-854A-8C77-EC46BCDC36DA}"/>
    <hyperlink ref="D7" r:id="rId13" xr:uid="{E1688BB2-B518-1A47-8B66-E2B11D1523D1}"/>
    <hyperlink ref="D31" r:id="rId14" display="https://www.amazon.com/DNYSYSJ-Brushless-Underwater-Thruster-Propeller/dp/B0B3J4CM9H/ref=sr_1_23?crid=20UNWTIVIJT97&amp;dib=eyJ2IjoiMSJ9.kAb-fJL3uE3XXlvdWxUnAsgrUviY8As7U9aBU2T8D--AaLa1PcRNwEnBR_YRfRxuQv9l5PAOa-UKZgD9MtafGAKCJLtqrTECWQU3eT_m593_7uvletfjDf2J1cEpz3S3MoSEjmfRwA9fsw8oDOuieEg02Yb59lt5EMHZgP3soljqw6ff8rChPDeSLr2VoCglIZ38623464MddnzOAhQ8ZbeqW4Qc0bavZR1sYAWa_02NHlWE4C3cVeTZhKCGAUkpKI3hzGPbNoDo0802xzX_7qlXYV8UbztjcHT_VPQOYG0.Og4iz29HnVvRut7NZMWuvBlve32xGA9WFZcoycmWGDk&amp;dib_tag=se&amp;keywords=underwater%2Bmotor&amp;qid=1746744074&amp;sprefix=underwater%2Bmotor%2Caps%2C144&amp;sr=8-23&amp;th=1" xr:uid="{E18FFE11-8BEC-4B71-8BCD-9565806D58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NORBUSAMTEN AMATSANG NAFTEL</dc:creator>
  <cp:lastModifiedBy>NORBUSAMTEN AMATSANG NAFTEL</cp:lastModifiedBy>
  <dcterms:created xsi:type="dcterms:W3CDTF">2025-04-03T02:38:37Z</dcterms:created>
  <dcterms:modified xsi:type="dcterms:W3CDTF">2025-05-09T19:44:16Z</dcterms:modified>
</cp:coreProperties>
</file>